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OMIN\t2\python\ch4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A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E3" i="1" s="1"/>
  <c r="C4" i="1"/>
  <c r="F4" i="1" s="1"/>
  <c r="C5" i="1"/>
  <c r="C6" i="1"/>
  <c r="C7" i="1"/>
  <c r="F7" i="1" s="1"/>
  <c r="C8" i="1"/>
  <c r="F8" i="1" s="1"/>
  <c r="C9" i="1"/>
  <c r="F9" i="1" s="1"/>
  <c r="C10" i="1"/>
  <c r="F10" i="1" s="1"/>
  <c r="C11" i="1"/>
  <c r="F11" i="1" s="1"/>
  <c r="C12" i="1"/>
  <c r="E12" i="1" s="1"/>
  <c r="C13" i="1"/>
  <c r="E13" i="1" s="1"/>
  <c r="C14" i="1"/>
  <c r="E14" i="1" s="1"/>
  <c r="C15" i="1"/>
  <c r="E15" i="1" s="1"/>
  <c r="C16" i="1"/>
  <c r="F16" i="1" s="1"/>
  <c r="C2" i="1"/>
  <c r="B17" i="1"/>
  <c r="F15" i="1" l="1"/>
  <c r="F13" i="1"/>
  <c r="F14" i="1"/>
  <c r="F12" i="1"/>
  <c r="E16" i="1"/>
  <c r="E6" i="1"/>
  <c r="E2" i="1"/>
  <c r="E5" i="1"/>
  <c r="F6" i="1"/>
  <c r="F5" i="1"/>
  <c r="F2" i="1"/>
  <c r="E11" i="1"/>
  <c r="F3" i="1"/>
  <c r="E10" i="1"/>
  <c r="E9" i="1"/>
  <c r="E8" i="1"/>
  <c r="E7" i="1"/>
  <c r="E4" i="1"/>
  <c r="F17" i="1" l="1"/>
  <c r="E17" i="1"/>
  <c r="E20" i="1" s="1"/>
  <c r="F20" i="1" s="1"/>
</calcChain>
</file>

<file path=xl/sharedStrings.xml><?xml version="1.0" encoding="utf-8"?>
<sst xmlns="http://schemas.openxmlformats.org/spreadsheetml/2006/main" count="10" uniqueCount="10">
  <si>
    <t>x</t>
  </si>
  <si>
    <t>y</t>
  </si>
  <si>
    <t>x-x'</t>
  </si>
  <si>
    <t>y-y'</t>
  </si>
  <si>
    <t>(x-x')*y-y'</t>
  </si>
  <si>
    <t>(x-x')^2</t>
  </si>
  <si>
    <t>c</t>
  </si>
  <si>
    <t>m</t>
  </si>
  <si>
    <t>y=1.89x+19.04</t>
  </si>
  <si>
    <t>if x=16.5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</si>
</sst>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180" zoomScaleNormal="180" workbookViewId="0">
      <selection activeCell="A12" sqref="A12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15</v>
      </c>
      <c r="B2" s="1">
        <v>49</v>
      </c>
      <c r="C2" s="1">
        <f>A2-19.93</f>
        <v>-4.93</v>
      </c>
      <c r="D2" s="1">
        <f>B2-56.8</f>
        <v>-7.7999999999999972</v>
      </c>
      <c r="E2" s="1">
        <f>C2*D2</f>
        <v>38.453999999999986</v>
      </c>
      <c r="F2" s="1">
        <f>C2*C2</f>
        <v>24.304899999999996</v>
      </c>
    </row>
    <row r="3" spans="1:6" x14ac:dyDescent="0.25">
      <c r="A3" s="1">
        <v>23</v>
      </c>
      <c r="B3" s="1">
        <v>63</v>
      </c>
      <c r="C3" s="1">
        <f t="shared" ref="C3:C16" si="0">A3-19.93</f>
        <v>3.0700000000000003</v>
      </c>
      <c r="D3" s="1">
        <f t="shared" ref="D3:D16" si="1">B3-56.8</f>
        <v>6.2000000000000028</v>
      </c>
      <c r="E3" s="1">
        <f t="shared" ref="E3:E17" si="2">C3*D3</f>
        <v>19.03400000000001</v>
      </c>
      <c r="F3" s="1">
        <f t="shared" ref="F3:F17" si="3">C3*C3</f>
        <v>9.4249000000000009</v>
      </c>
    </row>
    <row r="4" spans="1:6" x14ac:dyDescent="0.25">
      <c r="A4" s="1">
        <v>18</v>
      </c>
      <c r="B4" s="1">
        <v>58</v>
      </c>
      <c r="C4" s="1">
        <f t="shared" si="0"/>
        <v>-1.9299999999999997</v>
      </c>
      <c r="D4" s="1">
        <f t="shared" si="1"/>
        <v>1.2000000000000028</v>
      </c>
      <c r="E4" s="1">
        <f t="shared" si="2"/>
        <v>-2.3160000000000052</v>
      </c>
      <c r="F4" s="1">
        <f t="shared" si="3"/>
        <v>3.724899999999999</v>
      </c>
    </row>
    <row r="5" spans="1:6" x14ac:dyDescent="0.25">
      <c r="A5" s="1">
        <v>23</v>
      </c>
      <c r="B5" s="1">
        <v>60</v>
      </c>
      <c r="C5" s="1">
        <f t="shared" si="0"/>
        <v>3.0700000000000003</v>
      </c>
      <c r="D5" s="1">
        <f t="shared" si="1"/>
        <v>3.2000000000000028</v>
      </c>
      <c r="E5" s="1">
        <f t="shared" si="2"/>
        <v>9.8240000000000105</v>
      </c>
      <c r="F5" s="1">
        <f t="shared" si="3"/>
        <v>9.4249000000000009</v>
      </c>
    </row>
    <row r="6" spans="1:6" x14ac:dyDescent="0.25">
      <c r="A6" s="1">
        <v>24</v>
      </c>
      <c r="B6" s="1">
        <v>58</v>
      </c>
      <c r="C6" s="1">
        <f t="shared" si="0"/>
        <v>4.07</v>
      </c>
      <c r="D6" s="1">
        <f t="shared" si="1"/>
        <v>1.2000000000000028</v>
      </c>
      <c r="E6" s="1">
        <f t="shared" si="2"/>
        <v>4.8840000000000119</v>
      </c>
      <c r="F6" s="1">
        <f t="shared" si="3"/>
        <v>16.564900000000002</v>
      </c>
    </row>
    <row r="7" spans="1:6" x14ac:dyDescent="0.25">
      <c r="A7" s="1">
        <v>22</v>
      </c>
      <c r="B7" s="1">
        <v>61</v>
      </c>
      <c r="C7" s="1">
        <f t="shared" si="0"/>
        <v>2.0700000000000003</v>
      </c>
      <c r="D7" s="1">
        <f t="shared" si="1"/>
        <v>4.2000000000000028</v>
      </c>
      <c r="E7" s="1">
        <f t="shared" si="2"/>
        <v>8.6940000000000079</v>
      </c>
      <c r="F7" s="1">
        <f t="shared" si="3"/>
        <v>4.2849000000000013</v>
      </c>
    </row>
    <row r="8" spans="1:6" x14ac:dyDescent="0.25">
      <c r="A8" s="1">
        <v>22</v>
      </c>
      <c r="B8" s="1">
        <v>60</v>
      </c>
      <c r="C8" s="1">
        <f t="shared" si="0"/>
        <v>2.0700000000000003</v>
      </c>
      <c r="D8" s="1">
        <f t="shared" si="1"/>
        <v>3.2000000000000028</v>
      </c>
      <c r="E8" s="1">
        <f t="shared" si="2"/>
        <v>6.6240000000000068</v>
      </c>
      <c r="F8" s="1">
        <f t="shared" si="3"/>
        <v>4.2849000000000013</v>
      </c>
    </row>
    <row r="9" spans="1:6" x14ac:dyDescent="0.25">
      <c r="A9" s="1">
        <v>19</v>
      </c>
      <c r="B9" s="1">
        <v>63</v>
      </c>
      <c r="C9" s="1">
        <f t="shared" si="0"/>
        <v>-0.92999999999999972</v>
      </c>
      <c r="D9" s="1">
        <f t="shared" si="1"/>
        <v>6.2000000000000028</v>
      </c>
      <c r="E9" s="1">
        <f t="shared" si="2"/>
        <v>-5.7660000000000009</v>
      </c>
      <c r="F9" s="1">
        <f t="shared" si="3"/>
        <v>0.86489999999999945</v>
      </c>
    </row>
    <row r="10" spans="1:6" x14ac:dyDescent="0.25">
      <c r="A10" s="1">
        <v>19</v>
      </c>
      <c r="B10" s="1">
        <v>60</v>
      </c>
      <c r="C10" s="1">
        <f t="shared" si="0"/>
        <v>-0.92999999999999972</v>
      </c>
      <c r="D10" s="1">
        <f t="shared" si="1"/>
        <v>3.2000000000000028</v>
      </c>
      <c r="E10" s="1">
        <f t="shared" si="2"/>
        <v>-2.9760000000000018</v>
      </c>
      <c r="F10" s="1">
        <f t="shared" si="3"/>
        <v>0.86489999999999945</v>
      </c>
    </row>
    <row r="11" spans="1:6" x14ac:dyDescent="0.25">
      <c r="A11" s="1">
        <v>16</v>
      </c>
      <c r="B11" s="1">
        <v>52</v>
      </c>
      <c r="C11" s="1">
        <f t="shared" si="0"/>
        <v>-3.9299999999999997</v>
      </c>
      <c r="D11" s="1">
        <f t="shared" si="1"/>
        <v>-4.7999999999999972</v>
      </c>
      <c r="E11" s="1">
        <f t="shared" si="2"/>
        <v>18.863999999999987</v>
      </c>
      <c r="F11" s="1">
        <f t="shared" si="3"/>
        <v>15.444899999999997</v>
      </c>
    </row>
    <row r="12" spans="1:6" x14ac:dyDescent="0.25">
      <c r="A12" s="1">
        <v>24</v>
      </c>
      <c r="B12" s="1">
        <v>62</v>
      </c>
      <c r="C12" s="1">
        <f t="shared" si="0"/>
        <v>4.07</v>
      </c>
      <c r="D12" s="1">
        <f t="shared" si="1"/>
        <v>5.2000000000000028</v>
      </c>
      <c r="E12" s="1">
        <f t="shared" si="2"/>
        <v>21.164000000000012</v>
      </c>
      <c r="F12" s="1">
        <f t="shared" si="3"/>
        <v>16.564900000000002</v>
      </c>
    </row>
    <row r="13" spans="1:6" x14ac:dyDescent="0.25">
      <c r="A13" s="1">
        <v>11</v>
      </c>
      <c r="B13" s="1">
        <v>30</v>
      </c>
      <c r="C13" s="1">
        <f t="shared" si="0"/>
        <v>-8.93</v>
      </c>
      <c r="D13" s="1">
        <f t="shared" si="1"/>
        <v>-26.799999999999997</v>
      </c>
      <c r="E13" s="1">
        <f t="shared" si="2"/>
        <v>239.32399999999996</v>
      </c>
      <c r="F13" s="1">
        <f t="shared" si="3"/>
        <v>79.744900000000001</v>
      </c>
    </row>
    <row r="14" spans="1:6" x14ac:dyDescent="0.25">
      <c r="A14" s="1">
        <v>24</v>
      </c>
      <c r="B14" s="1">
        <v>59</v>
      </c>
      <c r="C14" s="1">
        <f t="shared" si="0"/>
        <v>4.07</v>
      </c>
      <c r="D14" s="1">
        <f t="shared" si="1"/>
        <v>2.2000000000000028</v>
      </c>
      <c r="E14" s="1">
        <f t="shared" si="2"/>
        <v>8.9540000000000131</v>
      </c>
      <c r="F14" s="1">
        <f t="shared" si="3"/>
        <v>16.564900000000002</v>
      </c>
    </row>
    <row r="15" spans="1:6" x14ac:dyDescent="0.25">
      <c r="A15" s="1">
        <v>16</v>
      </c>
      <c r="B15" s="1">
        <v>49</v>
      </c>
      <c r="C15" s="1">
        <f t="shared" si="0"/>
        <v>-3.9299999999999997</v>
      </c>
      <c r="D15" s="1">
        <f t="shared" si="1"/>
        <v>-7.7999999999999972</v>
      </c>
      <c r="E15" s="1">
        <f t="shared" si="2"/>
        <v>30.653999999999986</v>
      </c>
      <c r="F15" s="1">
        <f t="shared" si="3"/>
        <v>15.444899999999997</v>
      </c>
    </row>
    <row r="16" spans="1:6" x14ac:dyDescent="0.25">
      <c r="A16" s="1">
        <v>23</v>
      </c>
      <c r="B16" s="1">
        <v>68</v>
      </c>
      <c r="C16" s="1">
        <f t="shared" si="0"/>
        <v>3.0700000000000003</v>
      </c>
      <c r="D16" s="1">
        <f t="shared" si="1"/>
        <v>11.200000000000003</v>
      </c>
      <c r="E16" s="1">
        <f t="shared" si="2"/>
        <v>34.384000000000015</v>
      </c>
      <c r="F16" s="1">
        <f t="shared" si="3"/>
        <v>9.4249000000000009</v>
      </c>
    </row>
    <row r="17" spans="1:6" x14ac:dyDescent="0.25">
      <c r="A17" s="1">
        <f>AVERAGE(A2:A16)</f>
        <v>19.933333333333334</v>
      </c>
      <c r="B17" s="1">
        <f>AVERAGE(B2:B16)</f>
        <v>56.8</v>
      </c>
      <c r="E17" s="1">
        <f>SUM(E2:E16)</f>
        <v>429.8</v>
      </c>
      <c r="F17" s="1">
        <f>SUM(F2:F16)</f>
        <v>226.93350000000001</v>
      </c>
    </row>
    <row r="19" spans="1:6" x14ac:dyDescent="0.25">
      <c r="E19" s="1" t="s">
        <v>7</v>
      </c>
      <c r="F19" s="1" t="s">
        <v>6</v>
      </c>
    </row>
    <row r="20" spans="1:6" x14ac:dyDescent="0.25">
      <c r="E20" s="1">
        <f>E17/F17</f>
        <v>1.8939469051506277</v>
      </c>
      <c r="F20" s="1">
        <f>B17-E20*A17</f>
        <v>19.047325023997487</v>
      </c>
    </row>
    <row r="21" spans="1:6" x14ac:dyDescent="0.25">
      <c r="E21" s="1" t="s">
        <v>8</v>
      </c>
    </row>
    <row r="22" spans="1:6" x14ac:dyDescent="0.25">
      <c r="D22" s="1" t="s">
        <v>9</v>
      </c>
      <c r="E22" s="1">
        <f>E20*16.5+F20</f>
        <v>50.297448958982841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2026-04-11T03:42:09Z</dcterms:created>
  <dcterms:modified xsi:type="dcterms:W3CDTF">2026-04-11T04:16:02Z</dcterms:modified>
</cp:coreProperties>
</file>